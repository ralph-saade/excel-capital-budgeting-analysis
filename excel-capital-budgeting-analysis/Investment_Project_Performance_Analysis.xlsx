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D78EA5-FAC6-43E4-9C79-B558BB1138DF}" xr6:coauthVersionLast="37" xr6:coauthVersionMax="37" xr10:uidLastSave="{00000000-0000-0000-0000-000000000000}"/>
  <bookViews>
    <workbookView xWindow="0" yWindow="0" windowWidth="28800" windowHeight="12105" xr2:uid="{55FB168E-D774-44E1-8E4F-B5F4ED0DDDA7}"/>
  </bookViews>
  <sheets>
    <sheet name="Cash flow table" sheetId="1" r:id="rId1"/>
    <sheet name="Calculation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F4" i="2" l="1"/>
  <c r="F5" i="2"/>
  <c r="F3" i="2"/>
  <c r="E3" i="2"/>
  <c r="E4" i="2" l="1"/>
  <c r="E14" i="1" l="1"/>
  <c r="F14" i="1"/>
  <c r="E15" i="1"/>
  <c r="F15" i="1"/>
  <c r="E16" i="1"/>
  <c r="F16" i="1"/>
  <c r="E17" i="1"/>
  <c r="F17" i="1"/>
  <c r="E18" i="1"/>
  <c r="F18" i="1"/>
  <c r="E19" i="1"/>
  <c r="F19" i="1"/>
  <c r="D17" i="1"/>
  <c r="D18" i="1"/>
  <c r="D19" i="1"/>
  <c r="D16" i="1"/>
  <c r="D15" i="1"/>
  <c r="D14" i="1"/>
  <c r="C3" i="2"/>
  <c r="D5" i="2"/>
  <c r="D4" i="2"/>
  <c r="D3" i="2"/>
  <c r="C5" i="2"/>
  <c r="C4" i="2"/>
</calcChain>
</file>

<file path=xl/sharedStrings.xml><?xml version="1.0" encoding="utf-8"?>
<sst xmlns="http://schemas.openxmlformats.org/spreadsheetml/2006/main" count="23" uniqueCount="20">
  <si>
    <t>Project A</t>
  </si>
  <si>
    <t>Project B</t>
  </si>
  <si>
    <t>Project C</t>
  </si>
  <si>
    <t>row 0 : initial investment</t>
  </si>
  <si>
    <t>row 1-5: annual cash flow</t>
  </si>
  <si>
    <t>Project</t>
  </si>
  <si>
    <t>NPV Formula</t>
  </si>
  <si>
    <t>IRR Formula</t>
  </si>
  <si>
    <t>Payback Period</t>
  </si>
  <si>
    <t>Recommendation</t>
  </si>
  <si>
    <t>A</t>
  </si>
  <si>
    <t>B</t>
  </si>
  <si>
    <t>C</t>
  </si>
  <si>
    <t xml:space="preserve">Year </t>
  </si>
  <si>
    <t>Cumulative Cash flow</t>
  </si>
  <si>
    <t>Year</t>
  </si>
  <si>
    <t>Cash flow</t>
  </si>
  <si>
    <t>Project B possesses the highest added value out of all projects but it is more risky because it takes the longest for the investment to be recovered</t>
  </si>
  <si>
    <t>Project A High efficiency and fastest payback, making it ideal for quick-return investments.</t>
  </si>
  <si>
    <t>Project  C has moderate returns with a short payback, but lower overall value compared to A and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</si>
</sst>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NumberFormat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5" xfId="0" applyBorder="1"/>
    <xf numFmtId="0" fontId="0" fillId="0" borderId="3" xfId="0" applyBorder="1"/>
    <xf numFmtId="0" fontId="0" fillId="0" borderId="16" xfId="0" applyBorder="1"/>
    <xf numFmtId="0" fontId="1" fillId="2" borderId="4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cumulative</a:t>
            </a:r>
            <a:r>
              <a:rPr lang="en-US" baseline="0"/>
              <a:t> cash flow of the projects in the next 6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23381452318461"/>
          <c:y val="0.17171296296296298"/>
          <c:w val="0.84454396325459313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'Cash flow table'!$C$13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'Cash flow table'!$C$14:$C$19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5-4B5D-B0C6-6842C01AA5C0}"/>
            </c:ext>
          </c:extLst>
        </c:ser>
        <c:ser>
          <c:idx val="1"/>
          <c:order val="1"/>
          <c:tx>
            <c:strRef>
              <c:f>'Cash flow table'!$D$13</c:f>
              <c:strCache>
                <c:ptCount val="1"/>
                <c:pt idx="0">
                  <c:v>Project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'Cash flow table'!$D$14:$D$19</c:f>
              <c:numCache>
                <c:formatCode>General</c:formatCode>
                <c:ptCount val="6"/>
                <c:pt idx="0">
                  <c:v>-100000</c:v>
                </c:pt>
                <c:pt idx="1">
                  <c:v>-70000</c:v>
                </c:pt>
                <c:pt idx="2">
                  <c:v>-35000</c:v>
                </c:pt>
                <c:pt idx="3">
                  <c:v>10000</c:v>
                </c:pt>
                <c:pt idx="4">
                  <c:v>60000</c:v>
                </c:pt>
                <c:pt idx="5">
                  <c:v>115000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5-4B5D-B0C6-6842C01AA5C0}"/>
            </c:ext>
          </c:extLst>
        </c:ser>
        <c:ser>
          <c:idx val="2"/>
          <c:order val="2"/>
          <c:tx>
            <c:strRef>
              <c:f>'Cash flow table'!$E$13</c:f>
              <c:strCache>
                <c:ptCount val="1"/>
                <c:pt idx="0">
                  <c:v>Project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'Cash flow table'!$E$14:$E$19</c:f>
              <c:numCache>
                <c:formatCode>General</c:formatCode>
                <c:ptCount val="6"/>
                <c:pt idx="0">
                  <c:v>-180000</c:v>
                </c:pt>
                <c:pt idx="1">
                  <c:v>-135000</c:v>
                </c:pt>
                <c:pt idx="2">
                  <c:v>-80000</c:v>
                </c:pt>
                <c:pt idx="3">
                  <c:v>-15000</c:v>
                </c:pt>
                <c:pt idx="4">
                  <c:v>60000</c:v>
                </c:pt>
                <c:pt idx="5">
                  <c:v>145000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75-4B5D-B0C6-6842C01AA5C0}"/>
            </c:ext>
          </c:extLst>
        </c:ser>
        <c:ser>
          <c:idx val="3"/>
          <c:order val="3"/>
          <c:tx>
            <c:strRef>
              <c:f>'Cash flow table'!$F$13</c:f>
              <c:strCache>
                <c:ptCount val="1"/>
                <c:pt idx="0">
                  <c:v>Project 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'Cash flow table'!$F$14:$F$19</c:f>
              <c:numCache>
                <c:formatCode>General</c:formatCode>
                <c:ptCount val="6"/>
                <c:pt idx="0">
                  <c:v>-50000</c:v>
                </c:pt>
                <c:pt idx="1">
                  <c:v>-35000</c:v>
                </c:pt>
                <c:pt idx="2">
                  <c:v>-18000</c:v>
                </c:pt>
                <c:pt idx="3">
                  <c:v>1000</c:v>
                </c:pt>
                <c:pt idx="4">
                  <c:v>22000</c:v>
                </c:pt>
                <c:pt idx="5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75-4B5D-B0C6-6842C01AA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52528"/>
        <c:axId val="2081888528"/>
      </c:lineChart>
      <c:catAx>
        <c:axId val="3315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88528"/>
        <c:crosses val="autoZero"/>
        <c:auto val="1"/>
        <c:lblAlgn val="ctr"/>
        <c:lblOffset val="100"/>
        <c:noMultiLvlLbl val="0"/>
      </c:catAx>
      <c:valAx>
        <c:axId val="20818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Cash</a:t>
                </a:r>
                <a:r>
                  <a:rPr lang="en-US" baseline="0"/>
                  <a:t> flow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5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comparison</a:t>
            </a:r>
          </a:p>
        </c:rich>
      </c:tx>
      <c:layout>
        <c:manualLayout>
          <c:xMode val="edge"/>
          <c:yMode val="edge"/>
          <c:x val="0.41506930774278217"/>
          <c:y val="2.7777787613533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Calculations!$C$2</c:f>
              <c:strCache>
                <c:ptCount val="1"/>
                <c:pt idx="0">
                  <c:v>NPV Formula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Calculations!$B$3:$B$5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Calculations!$C$3:$C$5</c:f>
              <c:numCache>
                <c:formatCode>"$"#,##0_);[Red]\("$"#,##0\)</c:formatCode>
                <c:ptCount val="3"/>
                <c:pt idx="0">
                  <c:v>58308.858684516046</c:v>
                </c:pt>
                <c:pt idx="1">
                  <c:v>59203.420034647337</c:v>
                </c:pt>
                <c:pt idx="2">
                  <c:v>20585.404623380164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DF7-989C-F82302F61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37152"/>
        <c:axId val="134178864"/>
      </c:barChart>
      <c:catAx>
        <c:axId val="3953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8864"/>
        <c:crosses val="autoZero"/>
        <c:auto val="1"/>
        <c:lblAlgn val="ctr"/>
        <c:lblOffset val="100"/>
        <c:noMultiLvlLbl val="0"/>
      </c:catAx>
      <c:valAx>
        <c:axId val="1341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present value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8</xdr:row>
      <xdr:rowOff>4761</xdr:rowOff>
    </xdr:from>
    <xdr:to>
      <xdr:col>16</xdr:col>
      <xdr:colOff>609599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C95F1-CCDE-405E-8E09-D160308AF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185736</xdr:rowOff>
    </xdr:from>
    <xdr:to>
      <xdr:col>15</xdr:col>
      <xdr:colOff>0</xdr:colOff>
      <xdr:row>12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17E604-19C3-47A7-9897-C8B3A3795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EC7B-C490-4492-B09A-B1E65F98D28B}">
  <dimension ref="B3:J19"/>
  <sheetViews>
    <sheetView tabSelected="1" workbookViewId="0">
      <selection activeCell="F18" sqref="F18"/>
    </sheetView>
  </sheetViews>
  <sheetFormatPr defaultRowHeight="15"/>
  <cols>
    <col min="2" max="2" width="12.28515625" customWidth="1"/>
    <col min="4" max="4" width="19.5703125" customWidth="1"/>
    <col min="5" max="5" width="19" customWidth="1"/>
    <col min="6" max="6" width="19.42578125" customWidth="1"/>
    <col min="10" max="10" width="12.7109375" bestFit="1" customWidth="1"/>
  </cols>
  <sheetData>
    <row r="3" spans="2:10" ht="15.75" thickBot="1"/>
    <row r="4" spans="2:10" ht="15.75" thickBot="1">
      <c r="B4" s="24" t="s">
        <v>16</v>
      </c>
      <c r="C4" s="18" t="s">
        <v>13</v>
      </c>
      <c r="D4" s="18" t="s">
        <v>0</v>
      </c>
      <c r="E4" s="18" t="s">
        <v>1</v>
      </c>
      <c r="F4" s="18" t="s">
        <v>2</v>
      </c>
    </row>
    <row r="5" spans="2:10" ht="18" customHeight="1">
      <c r="B5" s="25"/>
      <c r="C5" s="15">
        <v>0</v>
      </c>
      <c r="D5" s="16">
        <v>-100000</v>
      </c>
      <c r="E5" s="16">
        <v>-180000</v>
      </c>
      <c r="F5" s="17">
        <v>-50000</v>
      </c>
      <c r="H5" s="20" t="s">
        <v>3</v>
      </c>
      <c r="I5" s="20"/>
      <c r="J5" s="20"/>
    </row>
    <row r="6" spans="2:10">
      <c r="B6" s="25"/>
      <c r="C6" s="10">
        <v>1</v>
      </c>
      <c r="D6" s="1">
        <v>30000</v>
      </c>
      <c r="E6" s="1">
        <v>45000</v>
      </c>
      <c r="F6" s="11">
        <v>15000</v>
      </c>
      <c r="H6" s="20" t="s">
        <v>4</v>
      </c>
      <c r="I6" s="20"/>
      <c r="J6" s="20"/>
    </row>
    <row r="7" spans="2:10">
      <c r="B7" s="25"/>
      <c r="C7" s="10">
        <v>2</v>
      </c>
      <c r="D7" s="1">
        <v>35000</v>
      </c>
      <c r="E7" s="1">
        <v>55000</v>
      </c>
      <c r="F7" s="11">
        <v>17000</v>
      </c>
    </row>
    <row r="8" spans="2:10">
      <c r="B8" s="25"/>
      <c r="C8" s="10">
        <v>3</v>
      </c>
      <c r="D8" s="1">
        <v>45000</v>
      </c>
      <c r="E8" s="1">
        <v>65000</v>
      </c>
      <c r="F8" s="11">
        <v>19000</v>
      </c>
    </row>
    <row r="9" spans="2:10">
      <c r="B9" s="25"/>
      <c r="C9" s="10">
        <v>4</v>
      </c>
      <c r="D9" s="1">
        <v>50000</v>
      </c>
      <c r="E9" s="1">
        <v>75000</v>
      </c>
      <c r="F9" s="11">
        <v>21000</v>
      </c>
    </row>
    <row r="10" spans="2:10" ht="15.75" thickBot="1">
      <c r="B10" s="26"/>
      <c r="C10" s="14">
        <v>5</v>
      </c>
      <c r="D10" s="12">
        <v>55000</v>
      </c>
      <c r="E10" s="12">
        <v>85000</v>
      </c>
      <c r="F10" s="13">
        <v>23000</v>
      </c>
    </row>
    <row r="12" spans="2:10" ht="15.75" thickBot="1"/>
    <row r="13" spans="2:10" ht="15.75" thickBot="1">
      <c r="B13" s="21" t="s">
        <v>14</v>
      </c>
      <c r="C13" s="18" t="s">
        <v>15</v>
      </c>
      <c r="D13" s="18" t="s">
        <v>0</v>
      </c>
      <c r="E13" s="18" t="s">
        <v>1</v>
      </c>
      <c r="F13" s="18" t="s">
        <v>2</v>
      </c>
    </row>
    <row r="14" spans="2:10">
      <c r="B14" s="22"/>
      <c r="C14" s="15">
        <v>0</v>
      </c>
      <c r="D14" s="16">
        <f>SUM(D5)</f>
        <v>-100000</v>
      </c>
      <c r="E14" s="16">
        <f t="shared" ref="E14:F14" si="0">SUM(E5)</f>
        <v>-180000</v>
      </c>
      <c r="F14" s="17">
        <f t="shared" si="0"/>
        <v>-50000</v>
      </c>
    </row>
    <row r="15" spans="2:10">
      <c r="B15" s="22"/>
      <c r="C15" s="10">
        <v>1</v>
      </c>
      <c r="D15" s="1">
        <f>SUM(D5:D6)</f>
        <v>-70000</v>
      </c>
      <c r="E15" s="1">
        <f t="shared" ref="E15:F15" si="1">SUM(E5:E6)</f>
        <v>-135000</v>
      </c>
      <c r="F15" s="11">
        <f t="shared" si="1"/>
        <v>-35000</v>
      </c>
    </row>
    <row r="16" spans="2:10">
      <c r="B16" s="22"/>
      <c r="C16" s="10">
        <v>2</v>
      </c>
      <c r="D16" s="1">
        <f>SUM(D5:D7)</f>
        <v>-35000</v>
      </c>
      <c r="E16" s="1">
        <f t="shared" ref="E16:F16" si="2">SUM(E5:E7)</f>
        <v>-80000</v>
      </c>
      <c r="F16" s="11">
        <f t="shared" si="2"/>
        <v>-18000</v>
      </c>
    </row>
    <row r="17" spans="2:6">
      <c r="B17" s="22"/>
      <c r="C17" s="10">
        <v>3</v>
      </c>
      <c r="D17" s="1">
        <f>SUM(D5:D8)</f>
        <v>10000</v>
      </c>
      <c r="E17" s="1">
        <f t="shared" ref="E17:F17" si="3">SUM(E5:E8)</f>
        <v>-15000</v>
      </c>
      <c r="F17" s="11">
        <f t="shared" si="3"/>
        <v>1000</v>
      </c>
    </row>
    <row r="18" spans="2:6">
      <c r="B18" s="22"/>
      <c r="C18" s="10">
        <v>4</v>
      </c>
      <c r="D18" s="1">
        <f>SUM(D5:D9)</f>
        <v>60000</v>
      </c>
      <c r="E18" s="1">
        <f t="shared" ref="E18:F18" si="4">SUM(E5:E9)</f>
        <v>60000</v>
      </c>
      <c r="F18" s="11">
        <f t="shared" si="4"/>
        <v>22000</v>
      </c>
    </row>
    <row r="19" spans="2:6" ht="15.75" thickBot="1">
      <c r="B19" s="23"/>
      <c r="C19" s="14">
        <v>5</v>
      </c>
      <c r="D19" s="12">
        <f>SUM(D5:D10)</f>
        <v>115000</v>
      </c>
      <c r="E19" s="12">
        <f t="shared" ref="E19:F19" si="5">SUM(E5:E10)</f>
        <v>145000</v>
      </c>
      <c r="F19" s="13">
        <f t="shared" si="5"/>
        <v>45000</v>
      </c>
    </row>
  </sheetData>
  <mergeCells count="4">
    <mergeCell ref="H5:J5"/>
    <mergeCell ref="H6:J6"/>
    <mergeCell ref="B13:B19"/>
    <mergeCell ref="B4:B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C57C-D624-4074-8F66-79D166E8DC86}">
  <dimension ref="B1:I13"/>
  <sheetViews>
    <sheetView workbookViewId="0">
      <selection activeCell="E5" sqref="E5"/>
    </sheetView>
  </sheetViews>
  <sheetFormatPr defaultRowHeight="15"/>
  <cols>
    <col min="2" max="2" width="18" customWidth="1"/>
    <col min="3" max="3" width="14.140625" customWidth="1"/>
    <col min="4" max="4" width="29" customWidth="1"/>
    <col min="5" max="5" width="23.28515625" customWidth="1"/>
    <col min="6" max="6" width="44.28515625" customWidth="1"/>
  </cols>
  <sheetData>
    <row r="1" spans="2:9">
      <c r="B1" s="2"/>
      <c r="C1" s="2"/>
      <c r="D1" s="2"/>
      <c r="E1" s="2"/>
      <c r="F1" s="2"/>
    </row>
    <row r="2" spans="2:9"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2:9" ht="25.5" customHeight="1">
      <c r="B3" s="4" t="s">
        <v>10</v>
      </c>
      <c r="C3" s="5">
        <f>NPV(10%,'Cash flow table'!D6:D10)+'Cash flow table'!D5</f>
        <v>58308.858684516046</v>
      </c>
      <c r="D3" s="6">
        <f>IRR('Cash flow table'!D5:D10)</f>
        <v>0.28402918442702574</v>
      </c>
      <c r="E3" s="7" t="str">
        <f xml:space="preserve"> ROUND('Cash flow table'!C16+(-'Cash flow table'!D16/'Cash flow table'!D8),2) &amp; " years"</f>
        <v>2.78 years</v>
      </c>
      <c r="F3" s="8" t="str">
        <f>IF(C3=MAX($C$3:$C$5), "Accept", "Reject")</f>
        <v>Reject</v>
      </c>
    </row>
    <row r="4" spans="2:9" ht="31.5" customHeight="1">
      <c r="B4" s="4" t="s">
        <v>11</v>
      </c>
      <c r="C4" s="5">
        <f>NPV(10%,'Cash flow table'!E6:E10)+'Cash flow table'!E5</f>
        <v>59203.420034647337</v>
      </c>
      <c r="D4" s="6">
        <f>IRR('Cash flow table'!E5:E10)</f>
        <v>0.20818020061245202</v>
      </c>
      <c r="E4" s="7" t="str">
        <f xml:space="preserve">  ROUND('Cash flow table'!C17+(-'Cash flow table'!E17/'Cash flow table'!E9),2) &amp; " years"</f>
        <v>3.2 years</v>
      </c>
      <c r="F4" s="8" t="str">
        <f t="shared" ref="F4:F5" si="0">IF(C4=MAX($C$3:$C$5), "Accept", "Reject")</f>
        <v>Accept</v>
      </c>
      <c r="I4" s="9"/>
    </row>
    <row r="5" spans="2:9" ht="27.75" customHeight="1">
      <c r="B5" s="4" t="s">
        <v>12</v>
      </c>
      <c r="C5" s="5">
        <f>NPV(10%,'Cash flow table'!F6:F10)+'Cash flow table'!F5</f>
        <v>20585.404623380164</v>
      </c>
      <c r="D5" s="6">
        <f>IRR('Cash flow table'!F5:F10)</f>
        <v>0.23862954298454553</v>
      </c>
      <c r="E5" s="7" t="str">
        <f xml:space="preserve">  ROUND('Cash flow table'!C17+(-'Cash flow table'!F17/'Cash flow table'!F9),2) &amp; " years"</f>
        <v>2.95 years</v>
      </c>
      <c r="F5" s="8" t="str">
        <f t="shared" si="0"/>
        <v>Reject</v>
      </c>
    </row>
    <row r="7" spans="2:9">
      <c r="B7" s="28" t="s">
        <v>18</v>
      </c>
      <c r="C7" s="28"/>
      <c r="D7" s="28"/>
      <c r="E7" s="28"/>
      <c r="F7" s="28"/>
    </row>
    <row r="8" spans="2:9">
      <c r="B8" s="27" t="s">
        <v>17</v>
      </c>
      <c r="C8" s="27"/>
      <c r="D8" s="27"/>
      <c r="E8" s="27"/>
      <c r="F8" s="27"/>
    </row>
    <row r="9" spans="2:9">
      <c r="B9" t="s">
        <v>19</v>
      </c>
    </row>
    <row r="13" spans="2:9">
      <c r="C13" s="19"/>
    </row>
  </sheetData>
  <mergeCells count="2">
    <mergeCell ref="B8:F8"/>
    <mergeCell ref="B7:F7"/>
  </mergeCells>
  <conditionalFormatting sqref="F3:F5">
    <cfRule type="containsText" dxfId="1" priority="2" operator="containsText" text="Accept">
      <formula>NOT(ISERROR(SEARCH("Accept",F3)))</formula>
    </cfRule>
    <cfRule type="containsText" dxfId="0" priority="1" operator="containsText" text="Reject">
      <formula>NOT(ISERROR(SEARCH("Reject",F3)))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table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2025-11-15T12:22:07Z</dcterms:created>
  <dcterms:modified xsi:type="dcterms:W3CDTF">2025-11-15T17:24:40Z</dcterms:modified>
</cp:coreProperties>
</file>